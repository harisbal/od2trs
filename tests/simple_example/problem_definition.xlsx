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ork\OneDrive - Transport Systems Catapult\Research\PhD\Models\tripchains_from_od\tests\simple_example\"/>
    </mc:Choice>
  </mc:AlternateContent>
  <xr:revisionPtr revIDLastSave="0" documentId="13_ncr:1_{858549E1-E769-49C0-A3F5-09A05D394CFA}" xr6:coauthVersionLast="34" xr6:coauthVersionMax="34" xr10:uidLastSave="{00000000-0000-0000-0000-000000000000}"/>
  <bookViews>
    <workbookView xWindow="0" yWindow="0" windowWidth="28800" windowHeight="12210" xr2:uid="{F6A259FC-2D38-4842-AE1E-E2802FA79334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 l="1"/>
  <c r="H8" i="1"/>
  <c r="K5" i="1" s="1"/>
  <c r="H9" i="1"/>
  <c r="H10" i="1"/>
  <c r="K6" i="1" s="1"/>
  <c r="H11" i="1"/>
  <c r="H12" i="1"/>
  <c r="H13" i="1"/>
  <c r="H14" i="1"/>
  <c r="H15" i="1"/>
  <c r="H16" i="1"/>
  <c r="H17" i="1"/>
  <c r="K10" i="1"/>
  <c r="K7" i="1" l="1"/>
  <c r="K9" i="1"/>
  <c r="K8" i="1"/>
  <c r="K4" i="1"/>
  <c r="K11" i="1" l="1"/>
</calcChain>
</file>

<file path=xl/sharedStrings.xml><?xml version="1.0" encoding="utf-8"?>
<sst xmlns="http://schemas.openxmlformats.org/spreadsheetml/2006/main" count="36" uniqueCount="18">
  <si>
    <t>HA</t>
  </si>
  <si>
    <t>AW</t>
  </si>
  <si>
    <t>WB</t>
  </si>
  <si>
    <t>BH</t>
  </si>
  <si>
    <t>HW</t>
  </si>
  <si>
    <t>WH</t>
  </si>
  <si>
    <t>ChainID</t>
  </si>
  <si>
    <t>Trips</t>
  </si>
  <si>
    <t>OD_pair</t>
  </si>
  <si>
    <t>AH</t>
  </si>
  <si>
    <t>a</t>
  </si>
  <si>
    <t>b</t>
  </si>
  <si>
    <t>TripChainId</t>
  </si>
  <si>
    <t>LegId</t>
  </si>
  <si>
    <t>DistributionGroup</t>
  </si>
  <si>
    <t>TimesUsed</t>
  </si>
  <si>
    <t>Original Trip-chains</t>
  </si>
  <si>
    <t>Input for optimisation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</si>
</sst>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0010B-F1B6-4368-8732-96EB6CD062A0}" name="chains_formation" displayName="chains_formation" ref="F3:H17" totalsRowShown="0">
  <tableColumns count="3">
    <tableColumn id="1" xr3:uid="{B717F6FC-CFC4-4E1F-A08C-D62C81B6FEA8}" name="TripChainId"/>
    <tableColumn id="2" xr3:uid="{4046632C-2D3E-4188-8212-4C0473070B04}" name="LegId"/>
    <tableColumn id="3" xr3:uid="{C2511672-113D-4F46-A693-4A8D9E7DBC9D}" name="Trips" dataDxfId="2">
      <calculatedColumnFormula>SUMIF(chain_trips[ChainID],chains_formation[TripChainId],chain_trips[TimesUsed])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AAEA1A-2DDC-474B-A9A4-CFDBC1382CF2}" name="chain_trips" displayName="chain_trips" ref="B3:D8" totalsRowShown="0">
  <autoFilter ref="B3:D8" xr:uid="{6ADC1CE1-B464-495C-9388-A48AF1658B2B}"/>
  <tableColumns count="3">
    <tableColumn id="1" xr3:uid="{CBC57893-FF1C-47ED-AE3C-15E113A53227}" name="ChainID"/>
    <tableColumn id="3" xr3:uid="{DDF6138B-39BB-4E75-894E-233EC5A99FDE}" name="DistributionGroup"/>
    <tableColumn id="2" xr3:uid="{ED9AD6EC-FBF8-45C7-BC92-DB5B3624FFE4}" name="TimesUse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C8C218-BDE3-46AD-ACB9-D3D277FA6537}" name="Table4" displayName="Table4" ref="J3:K11" totalsRowCount="1">
  <tableColumns count="2">
    <tableColumn id="1" xr3:uid="{50CE5110-E79E-4474-B33B-C271B8F81E94}" name="OD_pair"/>
    <tableColumn id="2" xr3:uid="{A78BF333-93E7-4BFC-9973-105174CEDC06}" name="Trips" totalsRowFunction="sum" dataDxfId="1" totalsRowDxfId="0">
      <calculatedColumnFormula>SUMIF(chains_formation[LegId],Table4[[#This Row],[OD_pair]],chains_formation[Trips])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A3A8-F0B5-4FCE-819D-BAFDF87706B7}">
  <dimension ref="B2:K17"/>
  <sheetViews>
    <sheetView tabSelected="1" workbookViewId="0">
      <selection activeCell="J3" sqref="J3"/>
    </sheetView>
  </sheetViews>
  <sheetFormatPr defaultRowHeight="15" x14ac:dyDescent="0.25"/>
  <cols>
    <col min="1" max="1" width="6.140625" customWidth="1"/>
    <col min="2" max="2" width="13.42578125" bestFit="1" customWidth="1"/>
    <col min="3" max="3" width="19.7109375" bestFit="1" customWidth="1"/>
    <col min="4" max="4" width="13.140625" bestFit="1" customWidth="1"/>
    <col min="6" max="6" width="9.28515625" customWidth="1"/>
    <col min="7" max="7" width="8" bestFit="1" customWidth="1"/>
    <col min="8" max="8" width="7.5703125" bestFit="1" customWidth="1"/>
    <col min="9" max="9" width="6.140625" customWidth="1"/>
    <col min="10" max="10" width="10.28515625" customWidth="1"/>
    <col min="12" max="12" width="9.42578125" customWidth="1"/>
  </cols>
  <sheetData>
    <row r="2" spans="2:11" x14ac:dyDescent="0.25">
      <c r="B2" t="s">
        <v>16</v>
      </c>
      <c r="J2" t="s">
        <v>17</v>
      </c>
    </row>
    <row r="3" spans="2:11" x14ac:dyDescent="0.25">
      <c r="B3" t="s">
        <v>6</v>
      </c>
      <c r="C3" t="s">
        <v>14</v>
      </c>
      <c r="D3" t="s">
        <v>15</v>
      </c>
      <c r="F3" t="s">
        <v>12</v>
      </c>
      <c r="G3" t="s">
        <v>13</v>
      </c>
      <c r="H3" t="s">
        <v>7</v>
      </c>
      <c r="J3" t="s">
        <v>8</v>
      </c>
      <c r="K3" t="s">
        <v>7</v>
      </c>
    </row>
    <row r="4" spans="2:11" x14ac:dyDescent="0.25">
      <c r="B4">
        <v>1</v>
      </c>
      <c r="C4" t="s">
        <v>10</v>
      </c>
      <c r="D4">
        <v>5</v>
      </c>
      <c r="F4">
        <v>1</v>
      </c>
      <c r="G4" t="s">
        <v>0</v>
      </c>
      <c r="H4">
        <f>SUMIF(chain_trips[ChainID],chains_formation[TripChainId],chain_trips[TimesUsed])</f>
        <v>5</v>
      </c>
      <c r="J4" t="s">
        <v>0</v>
      </c>
      <c r="K4">
        <f>SUMIF(chains_formation[LegId],Table4[[#This Row],[OD_pair]],chains_formation[Trips])</f>
        <v>10</v>
      </c>
    </row>
    <row r="5" spans="2:11" x14ac:dyDescent="0.25">
      <c r="B5">
        <v>2</v>
      </c>
      <c r="C5" t="s">
        <v>10</v>
      </c>
      <c r="D5">
        <v>2</v>
      </c>
      <c r="F5">
        <v>1</v>
      </c>
      <c r="G5" t="s">
        <v>1</v>
      </c>
      <c r="H5">
        <f>SUMIF(chain_trips[ChainID],chains_formation[TripChainId],chain_trips[TimesUsed])</f>
        <v>5</v>
      </c>
      <c r="J5" t="s">
        <v>9</v>
      </c>
      <c r="K5">
        <f>SUMIF(chains_formation[LegId],Table4[[#This Row],[OD_pair]],chains_formation[Trips])</f>
        <v>2</v>
      </c>
    </row>
    <row r="6" spans="2:11" x14ac:dyDescent="0.25">
      <c r="B6">
        <v>3</v>
      </c>
      <c r="C6" t="s">
        <v>11</v>
      </c>
      <c r="D6">
        <v>3</v>
      </c>
      <c r="F6">
        <v>1</v>
      </c>
      <c r="G6" t="s">
        <v>5</v>
      </c>
      <c r="H6">
        <f>SUMIF(chain_trips[ChainID],chains_formation[TripChainId],chain_trips[TimesUsed])</f>
        <v>5</v>
      </c>
      <c r="J6" t="s">
        <v>1</v>
      </c>
      <c r="K6">
        <f>SUMIF(chains_formation[LegId],Table4[[#This Row],[OD_pair]],chains_formation[Trips])</f>
        <v>8</v>
      </c>
    </row>
    <row r="7" spans="2:11" x14ac:dyDescent="0.25">
      <c r="B7">
        <v>4</v>
      </c>
      <c r="C7" t="s">
        <v>11</v>
      </c>
      <c r="D7">
        <v>4</v>
      </c>
      <c r="F7">
        <v>2</v>
      </c>
      <c r="G7" t="s">
        <v>0</v>
      </c>
      <c r="H7">
        <f>SUMIF(chain_trips[ChainID],chains_formation[TripChainId],chain_trips[TimesUsed])</f>
        <v>2</v>
      </c>
      <c r="J7" t="s">
        <v>2</v>
      </c>
      <c r="K7">
        <f>SUMIF(chains_formation[LegId],Table4[[#This Row],[OD_pair]],chains_formation[Trips])</f>
        <v>4</v>
      </c>
    </row>
    <row r="8" spans="2:11" x14ac:dyDescent="0.25">
      <c r="B8">
        <v>5</v>
      </c>
      <c r="C8" t="s">
        <v>11</v>
      </c>
      <c r="D8">
        <v>1</v>
      </c>
      <c r="F8">
        <v>2</v>
      </c>
      <c r="G8" t="s">
        <v>9</v>
      </c>
      <c r="H8">
        <f>SUMIF(chain_trips[ChainID],chains_formation[TripChainId],chain_trips[TimesUsed])</f>
        <v>2</v>
      </c>
      <c r="J8" t="s">
        <v>3</v>
      </c>
      <c r="K8">
        <f>SUMIF(chains_formation[LegId],Table4[[#This Row],[OD_pair]],chains_formation[Trips])</f>
        <v>4</v>
      </c>
    </row>
    <row r="9" spans="2:11" x14ac:dyDescent="0.25">
      <c r="F9">
        <v>3</v>
      </c>
      <c r="G9" t="s">
        <v>0</v>
      </c>
      <c r="H9">
        <f>SUMIF(chain_trips[ChainID],chains_formation[TripChainId],chain_trips[TimesUsed])</f>
        <v>3</v>
      </c>
      <c r="J9" t="s">
        <v>4</v>
      </c>
      <c r="K9">
        <f>SUMIF(chains_formation[LegId],Table4[[#This Row],[OD_pair]],chains_formation[Trips])</f>
        <v>5</v>
      </c>
    </row>
    <row r="10" spans="2:11" x14ac:dyDescent="0.25">
      <c r="F10">
        <v>3</v>
      </c>
      <c r="G10" t="s">
        <v>1</v>
      </c>
      <c r="H10">
        <f>SUMIF(chain_trips[ChainID],chains_formation[TripChainId],chain_trips[TimesUsed])</f>
        <v>3</v>
      </c>
      <c r="J10" t="s">
        <v>5</v>
      </c>
      <c r="K10">
        <f>SUMIF(chains_formation[LegId],Table4[[#This Row],[OD_pair]],chains_formation[Trips])</f>
        <v>9</v>
      </c>
    </row>
    <row r="11" spans="2:11" x14ac:dyDescent="0.25">
      <c r="F11">
        <v>3</v>
      </c>
      <c r="G11" t="s">
        <v>2</v>
      </c>
      <c r="H11">
        <f>SUMIF(chain_trips[ChainID],chains_formation[TripChainId],chain_trips[TimesUsed])</f>
        <v>3</v>
      </c>
      <c r="K11" s="1">
        <f>SUBTOTAL(109,Table4[Trips])</f>
        <v>42</v>
      </c>
    </row>
    <row r="12" spans="2:11" x14ac:dyDescent="0.25">
      <c r="F12">
        <v>3</v>
      </c>
      <c r="G12" t="s">
        <v>3</v>
      </c>
      <c r="H12">
        <f>SUMIF(chain_trips[ChainID],chains_formation[TripChainId],chain_trips[TimesUsed])</f>
        <v>3</v>
      </c>
    </row>
    <row r="13" spans="2:11" x14ac:dyDescent="0.25">
      <c r="F13">
        <v>4</v>
      </c>
      <c r="G13" t="s">
        <v>4</v>
      </c>
      <c r="H13">
        <f>SUMIF(chain_trips[ChainID],chains_formation[TripChainId],chain_trips[TimesUsed])</f>
        <v>4</v>
      </c>
    </row>
    <row r="14" spans="2:11" x14ac:dyDescent="0.25">
      <c r="F14">
        <v>4</v>
      </c>
      <c r="G14" t="s">
        <v>5</v>
      </c>
      <c r="H14">
        <f>SUMIF(chain_trips[ChainID],chains_formation[TripChainId],chain_trips[TimesUsed])</f>
        <v>4</v>
      </c>
    </row>
    <row r="15" spans="2:11" x14ac:dyDescent="0.25">
      <c r="F15">
        <v>5</v>
      </c>
      <c r="G15" t="s">
        <v>4</v>
      </c>
      <c r="H15">
        <f>SUMIF(chain_trips[ChainID],chains_formation[TripChainId],chain_trips[TimesUsed])</f>
        <v>1</v>
      </c>
    </row>
    <row r="16" spans="2:11" x14ac:dyDescent="0.25">
      <c r="F16">
        <v>5</v>
      </c>
      <c r="G16" t="s">
        <v>2</v>
      </c>
      <c r="H16">
        <f>SUMIF(chain_trips[ChainID],chains_formation[TripChainId],chain_trips[TimesUsed])</f>
        <v>1</v>
      </c>
    </row>
    <row r="17" spans="6:8" x14ac:dyDescent="0.25">
      <c r="F17">
        <v>5</v>
      </c>
      <c r="G17" t="s">
        <v>3</v>
      </c>
      <c r="H17">
        <f>SUMIF(chain_trips[ChainID],chains_formation[TripChainId],chain_trips[TimesUsed])</f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2018-02-11T18:25:55Z</dcterms:created>
  <dcterms:modified xsi:type="dcterms:W3CDTF">2018-07-23T20:18:39Z</dcterms:modified>
</cp:coreProperties>
</file>