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Work\OneDrive - Transport Systems Catapult\Research\PhD\Models\tripchains_from_ODs\tests\simple_example\"/>
    </mc:Choice>
  </mc:AlternateContent>
  <xr:revisionPtr revIDLastSave="101" documentId="DAD190B78EB412C7C7198C30A7DC985DF17920D9" xr6:coauthVersionLast="34" xr6:coauthVersionMax="34" xr10:uidLastSave="{6737EC9D-0CA0-4D14-AC0F-80557975CD9F}"/>
  <bookViews>
    <workbookView xWindow="0" yWindow="0" windowWidth="28800" windowHeight="12210" xr2:uid="{F6A259FC-2D38-4842-AE1E-E2802FA79334}"/>
  </bookViews>
  <sheets>
    <sheet name="Sheet1" sheetId="1" r:id="rId1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N4" i="1" s="1"/>
  <c r="E8" i="1"/>
  <c r="E9" i="1"/>
  <c r="E10" i="1"/>
  <c r="E11" i="1"/>
  <c r="N7" i="1" s="1"/>
  <c r="E12" i="1"/>
  <c r="N8" i="1" s="1"/>
  <c r="E13" i="1"/>
  <c r="E14" i="1"/>
  <c r="E15" i="1"/>
  <c r="E16" i="1"/>
  <c r="N5" i="1" l="1"/>
  <c r="N6" i="1"/>
  <c r="N3" i="1"/>
  <c r="N9" i="1"/>
  <c r="D3" i="1"/>
  <c r="D4" i="1"/>
  <c r="D5" i="1"/>
  <c r="N10" i="1" l="1"/>
  <c r="D6" i="1"/>
  <c r="D7" i="1"/>
  <c r="M4" i="1" s="1"/>
  <c r="D8" i="1"/>
  <c r="D9" i="1"/>
  <c r="M5" i="1" s="1"/>
  <c r="D10" i="1"/>
  <c r="D11" i="1"/>
  <c r="D12" i="1"/>
  <c r="D13" i="1"/>
  <c r="D14" i="1"/>
  <c r="D15" i="1"/>
  <c r="D16" i="1"/>
  <c r="M9" i="1"/>
  <c r="M6" i="1" l="1"/>
  <c r="M8" i="1"/>
  <c r="M7" i="1"/>
  <c r="M3" i="1"/>
  <c r="M10" i="1" l="1"/>
</calcChain>
</file>

<file path=xl/sharedStrings.xml><?xml version="1.0" encoding="utf-8"?>
<sst xmlns="http://schemas.openxmlformats.org/spreadsheetml/2006/main" count="37" uniqueCount="17">
  <si>
    <t>HA</t>
  </si>
  <si>
    <t>AW</t>
  </si>
  <si>
    <t>WB</t>
  </si>
  <si>
    <t>BH</t>
  </si>
  <si>
    <t>HW</t>
  </si>
  <si>
    <t>WH</t>
  </si>
  <si>
    <t>ChainID</t>
  </si>
  <si>
    <t>Trips</t>
  </si>
  <si>
    <t>LegID</t>
  </si>
  <si>
    <t>OD_pair</t>
  </si>
  <si>
    <t>AH</t>
  </si>
  <si>
    <t>Group</t>
  </si>
  <si>
    <t>a</t>
  </si>
  <si>
    <t>b</t>
  </si>
  <si>
    <t>Times</t>
  </si>
  <si>
    <t>ResultTrips</t>
  </si>
  <si>
    <t>ResultTimes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</si>
</sst>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70010B-F1B6-4368-8732-96EB6CD062A0}" name="chains_formation" displayName="chains_formation" ref="B2:E16" totalsRowShown="0">
  <autoFilter ref="B2:E16" xr:uid="{C0837855-CD0B-4A99-A767-2670B631291D}"/>
  <tableColumns count="4">
    <tableColumn id="1" xr3:uid="{B717F6FC-CFC4-4E1F-A08C-D62C81B6FEA8}" name="ChainID"/>
    <tableColumn id="2" xr3:uid="{4046632C-2D3E-4188-8212-4C0473070B04}" name="LegID"/>
    <tableColumn id="3" xr3:uid="{C2511672-113D-4F46-A693-4A8D9E7DBC9D}" name="Trips" dataDxfId="4">
      <calculatedColumnFormula>SUMIF(chain_trips[ChainID],chains_formation[ChainID],chain_trips[Times])</calculatedColumnFormula>
    </tableColumn>
    <tableColumn id="4" xr3:uid="{6EB1A1D1-16AF-4E31-B4A3-0CFA6C42D61A}" name="ResultTrips" dataDxfId="3">
      <calculatedColumnFormula>SUMIF(chain_trips[ChainID],chains_formation[ChainID],chain_trips[ResultTimes])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AAEA1A-2DDC-474B-A9A4-CFDBC1382CF2}" name="chain_trips" displayName="chain_trips" ref="G2:J7" totalsRowShown="0">
  <autoFilter ref="G2:J7" xr:uid="{6ADC1CE1-B464-495C-9388-A48AF1658B2B}"/>
  <tableColumns count="4">
    <tableColumn id="1" xr3:uid="{CBC57893-FF1C-47ED-AE3C-15E113A53227}" name="ChainID"/>
    <tableColumn id="3" xr3:uid="{DDF6138B-39BB-4E75-894E-233EC5A99FDE}" name="Group"/>
    <tableColumn id="2" xr3:uid="{ED9AD6EC-FBF8-45C7-BC92-DB5B3624FFE4}" name="Times"/>
    <tableColumn id="5" xr3:uid="{79F67609-B3EE-45AD-B03E-021A8537CA9F}" name="ResultTim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C8C218-BDE3-46AD-ACB9-D3D277FA6537}" name="Table4" displayName="Table4" ref="L2:N10" totalsRowCount="1">
  <autoFilter ref="L2:N9" xr:uid="{781A71C3-0098-4A62-87FD-B971F89B3F29}"/>
  <tableColumns count="3">
    <tableColumn id="1" xr3:uid="{50CE5110-E79E-4474-B33B-C271B8F81E94}" name="OD_pair"/>
    <tableColumn id="2" xr3:uid="{A78BF333-93E7-4BFC-9973-105174CEDC06}" name="Trips" totalsRowFunction="sum" dataDxfId="2" totalsRowDxfId="1">
      <calculatedColumnFormula>SUMIF(chains_formation[LegID],Table4[[#This Row],[OD_pair]],chains_formation[Trips])</calculatedColumnFormula>
    </tableColumn>
    <tableColumn id="4" xr3:uid="{8D3D076F-3D4F-4783-8CDA-5711EF8693F4}" name="ResultTrips" totalsRowFunction="sum" dataDxfId="0">
      <calculatedColumnFormula>SUMIF(chains_formation[LegID],Table4[[#This Row],[OD_pair]],chains_formation[ResultTrips])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5A3A8-F0B5-4FCE-819D-BAFDF87706B7}">
  <dimension ref="B2:N16"/>
  <sheetViews>
    <sheetView tabSelected="1" workbookViewId="0">
      <selection activeCell="J8" sqref="J8"/>
    </sheetView>
  </sheetViews>
  <sheetFormatPr defaultRowHeight="15" x14ac:dyDescent="0.25"/>
  <cols>
    <col min="2" max="2" width="10" customWidth="1"/>
    <col min="5" max="5" width="12.7109375" bestFit="1" customWidth="1"/>
    <col min="6" max="6" width="6.140625" customWidth="1"/>
    <col min="7" max="8" width="10" customWidth="1"/>
    <col min="10" max="10" width="13.7109375" bestFit="1" customWidth="1"/>
    <col min="11" max="11" width="7" customWidth="1"/>
    <col min="12" max="12" width="10.28515625" customWidth="1"/>
    <col min="14" max="14" width="12.7109375" bestFit="1" customWidth="1"/>
    <col min="15" max="15" width="9.42578125" customWidth="1"/>
  </cols>
  <sheetData>
    <row r="2" spans="2:14" x14ac:dyDescent="0.25">
      <c r="B2" t="s">
        <v>6</v>
      </c>
      <c r="C2" t="s">
        <v>8</v>
      </c>
      <c r="D2" t="s">
        <v>7</v>
      </c>
      <c r="E2" t="s">
        <v>15</v>
      </c>
      <c r="G2" t="s">
        <v>6</v>
      </c>
      <c r="H2" t="s">
        <v>11</v>
      </c>
      <c r="I2" t="s">
        <v>14</v>
      </c>
      <c r="J2" t="s">
        <v>16</v>
      </c>
      <c r="L2" t="s">
        <v>9</v>
      </c>
      <c r="M2" t="s">
        <v>7</v>
      </c>
      <c r="N2" t="s">
        <v>15</v>
      </c>
    </row>
    <row r="3" spans="2:14" x14ac:dyDescent="0.25">
      <c r="B3">
        <v>1</v>
      </c>
      <c r="C3" t="s">
        <v>0</v>
      </c>
      <c r="D3">
        <f>SUMIF(chain_trips[ChainID],chains_formation[ChainID],chain_trips[Times])</f>
        <v>5</v>
      </c>
      <c r="E3">
        <f>SUMIF(chain_trips[ChainID],chains_formation[ChainID],chain_trips[ResultTimes])</f>
        <v>4</v>
      </c>
      <c r="G3">
        <v>1</v>
      </c>
      <c r="H3" t="s">
        <v>12</v>
      </c>
      <c r="I3">
        <v>5</v>
      </c>
      <c r="J3">
        <v>4</v>
      </c>
      <c r="L3" t="s">
        <v>0</v>
      </c>
      <c r="M3">
        <f>SUMIF(chains_formation[LegID],Table4[[#This Row],[OD_pair]],chains_formation[Trips])</f>
        <v>10</v>
      </c>
      <c r="N3">
        <f>SUMIF(chains_formation[LegID],Table4[[#This Row],[OD_pair]],chains_formation[ResultTrips])</f>
        <v>10</v>
      </c>
    </row>
    <row r="4" spans="2:14" x14ac:dyDescent="0.25">
      <c r="B4">
        <v>1</v>
      </c>
      <c r="C4" t="s">
        <v>1</v>
      </c>
      <c r="D4">
        <f>SUMIF(chain_trips[ChainID],chains_formation[ChainID],chain_trips[Times])</f>
        <v>5</v>
      </c>
      <c r="E4">
        <f>SUMIF(chain_trips[ChainID],chains_formation[ChainID],chain_trips[ResultTimes])</f>
        <v>4</v>
      </c>
      <c r="G4">
        <v>2</v>
      </c>
      <c r="H4" t="s">
        <v>12</v>
      </c>
      <c r="I4">
        <v>2</v>
      </c>
      <c r="J4">
        <v>2</v>
      </c>
      <c r="L4" t="s">
        <v>10</v>
      </c>
      <c r="M4">
        <f>SUMIF(chains_formation[LegID],Table4[[#This Row],[OD_pair]],chains_formation[Trips])</f>
        <v>2</v>
      </c>
      <c r="N4">
        <f>SUMIF(chains_formation[LegID],Table4[[#This Row],[OD_pair]],chains_formation[ResultTrips])</f>
        <v>2</v>
      </c>
    </row>
    <row r="5" spans="2:14" x14ac:dyDescent="0.25">
      <c r="B5">
        <v>1</v>
      </c>
      <c r="C5" t="s">
        <v>5</v>
      </c>
      <c r="D5">
        <f>SUMIF(chain_trips[ChainID],chains_formation[ChainID],chain_trips[Times])</f>
        <v>5</v>
      </c>
      <c r="E5">
        <f>SUMIF(chain_trips[ChainID],chains_formation[ChainID],chain_trips[ResultTimes])</f>
        <v>4</v>
      </c>
      <c r="G5">
        <v>3</v>
      </c>
      <c r="H5" t="s">
        <v>13</v>
      </c>
      <c r="I5">
        <v>3</v>
      </c>
      <c r="J5">
        <v>4</v>
      </c>
      <c r="L5" t="s">
        <v>1</v>
      </c>
      <c r="M5">
        <f>SUMIF(chains_formation[LegID],Table4[[#This Row],[OD_pair]],chains_formation[Trips])</f>
        <v>8</v>
      </c>
      <c r="N5">
        <f>SUMIF(chains_formation[LegID],Table4[[#This Row],[OD_pair]],chains_formation[ResultTrips])</f>
        <v>8</v>
      </c>
    </row>
    <row r="6" spans="2:14" x14ac:dyDescent="0.25">
      <c r="B6">
        <v>2</v>
      </c>
      <c r="C6" t="s">
        <v>0</v>
      </c>
      <c r="D6">
        <f>SUMIF(chain_trips[ChainID],chains_formation[ChainID],chain_trips[Times])</f>
        <v>2</v>
      </c>
      <c r="E6">
        <f>SUMIF(chain_trips[ChainID],chains_formation[ChainID],chain_trips[ResultTimes])</f>
        <v>2</v>
      </c>
      <c r="G6">
        <v>4</v>
      </c>
      <c r="H6" t="s">
        <v>13</v>
      </c>
      <c r="I6">
        <v>4</v>
      </c>
      <c r="J6">
        <v>5</v>
      </c>
      <c r="L6" t="s">
        <v>2</v>
      </c>
      <c r="M6">
        <f>SUMIF(chains_formation[LegID],Table4[[#This Row],[OD_pair]],chains_formation[Trips])</f>
        <v>4</v>
      </c>
      <c r="N6">
        <f>SUMIF(chains_formation[LegID],Table4[[#This Row],[OD_pair]],chains_formation[ResultTrips])</f>
        <v>4</v>
      </c>
    </row>
    <row r="7" spans="2:14" x14ac:dyDescent="0.25">
      <c r="B7">
        <v>2</v>
      </c>
      <c r="C7" t="s">
        <v>10</v>
      </c>
      <c r="D7">
        <f>SUMIF(chain_trips[ChainID],chains_formation[ChainID],chain_trips[Times])</f>
        <v>2</v>
      </c>
      <c r="E7">
        <f>SUMIF(chain_trips[ChainID],chains_formation[ChainID],chain_trips[ResultTimes])</f>
        <v>2</v>
      </c>
      <c r="G7">
        <v>5</v>
      </c>
      <c r="H7" t="s">
        <v>13</v>
      </c>
      <c r="I7">
        <v>1</v>
      </c>
      <c r="L7" t="s">
        <v>3</v>
      </c>
      <c r="M7">
        <f>SUMIF(chains_formation[LegID],Table4[[#This Row],[OD_pair]],chains_formation[Trips])</f>
        <v>4</v>
      </c>
      <c r="N7">
        <f>SUMIF(chains_formation[LegID],Table4[[#This Row],[OD_pair]],chains_formation[ResultTrips])</f>
        <v>4</v>
      </c>
    </row>
    <row r="8" spans="2:14" x14ac:dyDescent="0.25">
      <c r="B8">
        <v>3</v>
      </c>
      <c r="C8" t="s">
        <v>0</v>
      </c>
      <c r="D8">
        <f>SUMIF(chain_trips[ChainID],chains_formation[ChainID],chain_trips[Times])</f>
        <v>3</v>
      </c>
      <c r="E8">
        <f>SUMIF(chain_trips[ChainID],chains_formation[ChainID],chain_trips[ResultTimes])</f>
        <v>4</v>
      </c>
      <c r="L8" t="s">
        <v>4</v>
      </c>
      <c r="M8">
        <f>SUMIF(chains_formation[LegID],Table4[[#This Row],[OD_pair]],chains_formation[Trips])</f>
        <v>5</v>
      </c>
      <c r="N8">
        <f>SUMIF(chains_formation[LegID],Table4[[#This Row],[OD_pair]],chains_formation[ResultTrips])</f>
        <v>5</v>
      </c>
    </row>
    <row r="9" spans="2:14" x14ac:dyDescent="0.25">
      <c r="B9">
        <v>3</v>
      </c>
      <c r="C9" t="s">
        <v>1</v>
      </c>
      <c r="D9">
        <f>SUMIF(chain_trips[ChainID],chains_formation[ChainID],chain_trips[Times])</f>
        <v>3</v>
      </c>
      <c r="E9">
        <f>SUMIF(chain_trips[ChainID],chains_formation[ChainID],chain_trips[ResultTimes])</f>
        <v>4</v>
      </c>
      <c r="L9" t="s">
        <v>5</v>
      </c>
      <c r="M9">
        <f>SUMIF(chains_formation[LegID],Table4[[#This Row],[OD_pair]],chains_formation[Trips])</f>
        <v>9</v>
      </c>
      <c r="N9">
        <f>SUMIF(chains_formation[LegID],Table4[[#This Row],[OD_pair]],chains_formation[ResultTrips])</f>
        <v>9</v>
      </c>
    </row>
    <row r="10" spans="2:14" x14ac:dyDescent="0.25">
      <c r="B10">
        <v>3</v>
      </c>
      <c r="C10" t="s">
        <v>2</v>
      </c>
      <c r="D10">
        <f>SUMIF(chain_trips[ChainID],chains_formation[ChainID],chain_trips[Times])</f>
        <v>3</v>
      </c>
      <c r="E10">
        <f>SUMIF(chain_trips[ChainID],chains_formation[ChainID],chain_trips[ResultTimes])</f>
        <v>4</v>
      </c>
      <c r="M10" s="1">
        <f>SUBTOTAL(109,Table4[Trips])</f>
        <v>42</v>
      </c>
      <c r="N10">
        <f>SUBTOTAL(109,Table4[ResultTrips])</f>
        <v>42</v>
      </c>
    </row>
    <row r="11" spans="2:14" x14ac:dyDescent="0.25">
      <c r="B11">
        <v>3</v>
      </c>
      <c r="C11" t="s">
        <v>3</v>
      </c>
      <c r="D11">
        <f>SUMIF(chain_trips[ChainID],chains_formation[ChainID],chain_trips[Times])</f>
        <v>3</v>
      </c>
      <c r="E11">
        <f>SUMIF(chain_trips[ChainID],chains_formation[ChainID],chain_trips[ResultTimes])</f>
        <v>4</v>
      </c>
    </row>
    <row r="12" spans="2:14" x14ac:dyDescent="0.25">
      <c r="B12">
        <v>4</v>
      </c>
      <c r="C12" t="s">
        <v>4</v>
      </c>
      <c r="D12">
        <f>SUMIF(chain_trips[ChainID],chains_formation[ChainID],chain_trips[Times])</f>
        <v>4</v>
      </c>
      <c r="E12">
        <f>SUMIF(chain_trips[ChainID],chains_formation[ChainID],chain_trips[ResultTimes])</f>
        <v>5</v>
      </c>
    </row>
    <row r="13" spans="2:14" x14ac:dyDescent="0.25">
      <c r="B13">
        <v>4</v>
      </c>
      <c r="C13" t="s">
        <v>5</v>
      </c>
      <c r="D13">
        <f>SUMIF(chain_trips[ChainID],chains_formation[ChainID],chain_trips[Times])</f>
        <v>4</v>
      </c>
      <c r="E13">
        <f>SUMIF(chain_trips[ChainID],chains_formation[ChainID],chain_trips[ResultTimes])</f>
        <v>5</v>
      </c>
    </row>
    <row r="14" spans="2:14" x14ac:dyDescent="0.25">
      <c r="B14">
        <v>5</v>
      </c>
      <c r="C14" t="s">
        <v>4</v>
      </c>
      <c r="D14">
        <f>SUMIF(chain_trips[ChainID],chains_formation[ChainID],chain_trips[Times])</f>
        <v>1</v>
      </c>
      <c r="E14">
        <f>SUMIF(chain_trips[ChainID],chains_formation[ChainID],chain_trips[ResultTimes])</f>
        <v>0</v>
      </c>
    </row>
    <row r="15" spans="2:14" x14ac:dyDescent="0.25">
      <c r="B15">
        <v>5</v>
      </c>
      <c r="C15" t="s">
        <v>2</v>
      </c>
      <c r="D15">
        <f>SUMIF(chain_trips[ChainID],chains_formation[ChainID],chain_trips[Times])</f>
        <v>1</v>
      </c>
      <c r="E15">
        <f>SUMIF(chain_trips[ChainID],chains_formation[ChainID],chain_trips[ResultTimes])</f>
        <v>0</v>
      </c>
    </row>
    <row r="16" spans="2:14" x14ac:dyDescent="0.25">
      <c r="B16">
        <v>5</v>
      </c>
      <c r="C16" t="s">
        <v>3</v>
      </c>
      <c r="D16">
        <f>SUMIF(chain_trips[ChainID],chains_formation[ChainID],chain_trips[Times])</f>
        <v>1</v>
      </c>
      <c r="E16">
        <f>SUMIF(chain_trips[ChainID],chains_formation[ChainID],chain_trips[ResultTimes])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</dc:creator>
  <cp:lastModifiedBy>Work</cp:lastModifiedBy>
  <dcterms:created xsi:type="dcterms:W3CDTF">2018-02-11T18:25:55Z</dcterms:created>
  <dcterms:modified xsi:type="dcterms:W3CDTF">2018-07-19T21:38:29Z</dcterms:modified>
</cp:coreProperties>
</file>